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7"/>
  <workbookPr/>
  <mc:AlternateContent xmlns:mc="http://schemas.openxmlformats.org/markup-compatibility/2006">
    <mc:Choice Requires="x15">
      <x15ac:absPath xmlns:x15ac="http://schemas.microsoft.com/office/spreadsheetml/2010/11/ac" url="/Users/geralddurand-desgranges/Desktop/Fiches de provision/"/>
    </mc:Choice>
  </mc:AlternateContent>
  <xr:revisionPtr revIDLastSave="0" documentId="13_ncr:1_{2495AB59-7ECD-D64A-81D5-53612AC59D12}" xr6:coauthVersionLast="47" xr6:coauthVersionMax="47" xr10:uidLastSave="{00000000-0000-0000-0000-000000000000}"/>
  <bookViews>
    <workbookView xWindow="0" yWindow="660" windowWidth="29400" windowHeight="18460" tabRatio="500" xr2:uid="{00000000-000D-0000-FFFF-FFFF00000000}"/>
  </bookViews>
  <sheets>
    <sheet name="Fiche Provision VO" sheetId="1" r:id="rId1"/>
  </sheets>
  <definedNames>
    <definedName name="_xlnm.Print_Area" localSheetId="0">'Fiche Provision VO'!$A$1:$F$65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E23" i="1" l="1"/>
  <c r="E25" i="1"/>
  <c r="E24" i="1"/>
  <c r="E22" i="1"/>
  <c r="E21" i="1"/>
  <c r="E20" i="1"/>
  <c r="E19" i="1"/>
  <c r="E18" i="1"/>
  <c r="E14" i="1"/>
  <c r="E12" i="1"/>
  <c r="E60" i="1" l="1"/>
  <c r="E62" i="1" s="1"/>
</calcChain>
</file>

<file path=xl/sharedStrings.xml><?xml version="1.0" encoding="utf-8"?>
<sst xmlns="http://schemas.openxmlformats.org/spreadsheetml/2006/main" count="46" uniqueCount="34">
  <si>
    <t>FICHE PROVISION PRÉPA VO YPOCAMP</t>
  </si>
  <si>
    <t xml:space="preserve">  VÉHICULE</t>
  </si>
  <si>
    <t xml:space="preserve">  Marque</t>
  </si>
  <si>
    <t>Date MEC</t>
  </si>
  <si>
    <t xml:space="preserve">  Modèle</t>
  </si>
  <si>
    <t>Immat</t>
  </si>
  <si>
    <t xml:space="preserve">  Motorisation</t>
  </si>
  <si>
    <t>Prix d'achat</t>
  </si>
  <si>
    <t xml:space="preserve">  Cession ODOO en cours sur véhicule</t>
  </si>
  <si>
    <t>Montant</t>
  </si>
  <si>
    <t xml:space="preserve">  Réalisé par :</t>
  </si>
  <si>
    <t>Date :</t>
  </si>
  <si>
    <t xml:space="preserve">  Forfait admin livraison Camping-car VO</t>
  </si>
  <si>
    <t xml:space="preserve">                           PREPARATION ESTHETIQUE</t>
  </si>
  <si>
    <t xml:space="preserve"> PREPA MÉCANIQUE</t>
  </si>
  <si>
    <t>PRESTATION</t>
  </si>
  <si>
    <t>OUI/NON</t>
  </si>
  <si>
    <t>BUDGET</t>
  </si>
  <si>
    <t xml:space="preserve">  Contrôle technique + 6 mois</t>
  </si>
  <si>
    <t>NON</t>
  </si>
  <si>
    <t xml:space="preserve">  Vidange simple (filtre à huile)</t>
  </si>
  <si>
    <t xml:space="preserve">  Vidange complète (huile, gasoil, air)</t>
  </si>
  <si>
    <t xml:space="preserve">  Courroie de distribution</t>
  </si>
  <si>
    <t xml:space="preserve">  Courroie de distribution + pompe à eau</t>
  </si>
  <si>
    <t xml:space="preserve">  Train de pneus "Camper"</t>
  </si>
  <si>
    <t xml:space="preserve">  Batterie moteur</t>
  </si>
  <si>
    <t xml:space="preserve">  Autres…</t>
  </si>
  <si>
    <t>PREPA CARROSSERIE</t>
  </si>
  <si>
    <t>DESCRIPTION</t>
  </si>
  <si>
    <t>PREPA CELLULE</t>
  </si>
  <si>
    <t xml:space="preserve">  DIVERS</t>
  </si>
  <si>
    <t>MAUVAISES SURPRISES</t>
  </si>
  <si>
    <t xml:space="preserve">  PROVISION TOTALE PRÉPA VO</t>
  </si>
  <si>
    <t xml:space="preserve">  PRIX DE REVIENT NET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</si>
</sst>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&quot; €&quot;"/>
    <numFmt numFmtId="165" formatCode="m/d/yyyy"/>
    <numFmt numFmtId="166" formatCode="#,##0&quot; €&quot;;\-#,##0&quot; €&quot;;\-"/>
  </numFmts>
  <fonts count="15" x14ac:knownFonts="1">
    <font>
      <sz val="11"/>
      <color theme="1"/>
      <name val="Calibri"/>
      <family val="2"/>
      <charset val="1"/>
    </font>
    <font>
      <b/>
      <i/>
      <sz val="22"/>
      <color rgb="FF3D3C3D"/>
      <name val="Calibri"/>
      <family val="2"/>
      <charset val="1"/>
    </font>
    <font>
      <b/>
      <sz val="11"/>
      <color rgb="FFFFFFFF"/>
      <name val="Calibri"/>
      <family val="2"/>
      <charset val="1"/>
    </font>
    <font>
      <b/>
      <sz val="10"/>
      <color rgb="FF3D3D3D"/>
      <name val="Calibri"/>
      <family val="2"/>
      <charset val="1"/>
    </font>
    <font>
      <b/>
      <sz val="10"/>
      <color rgb="FF1B2A4A"/>
      <name val="Calibri"/>
      <family val="2"/>
      <charset val="1"/>
    </font>
    <font>
      <b/>
      <sz val="10"/>
      <color theme="1"/>
      <name val="Calibri"/>
      <family val="2"/>
      <charset val="1"/>
    </font>
    <font>
      <b/>
      <sz val="10"/>
      <color rgb="FFC0392B"/>
      <name val="Calibri"/>
      <family val="2"/>
      <charset val="1"/>
    </font>
    <font>
      <b/>
      <sz val="9"/>
      <color rgb="FF6B6B6B"/>
      <name val="Calibri"/>
      <family val="2"/>
      <charset val="1"/>
    </font>
    <font>
      <b/>
      <sz val="9"/>
      <color rgb="FF888888"/>
      <name val="Calibri"/>
      <family val="2"/>
      <charset val="1"/>
    </font>
    <font>
      <sz val="10"/>
      <color rgb="FF3D3D3D"/>
      <name val="Calibri"/>
      <family val="2"/>
      <charset val="1"/>
    </font>
    <font>
      <sz val="10"/>
      <color rgb="FF555555"/>
      <name val="Calibri"/>
      <family val="2"/>
      <charset val="1"/>
    </font>
    <font>
      <b/>
      <sz val="13"/>
      <color rgb="FFFFFFFF"/>
      <name val="Calibri"/>
      <family val="2"/>
      <charset val="1"/>
    </font>
    <font>
      <b/>
      <sz val="14"/>
      <color rgb="FFFFFFFF"/>
      <name val="Calibri"/>
      <family val="2"/>
      <charset val="1"/>
    </font>
    <font>
      <b/>
      <sz val="16"/>
      <color rgb="FF3D3C3D"/>
      <name val="Calibri"/>
      <family val="2"/>
    </font>
    <font>
      <b/>
      <sz val="22"/>
      <color rgb="FFE53935"/>
      <name val="Calibri"/>
      <family val="2"/>
    </font>
  </fonts>
  <fills count="7">
    <fill>
      <patternFill patternType="none"/>
    </fill>
    <fill>
      <patternFill patternType="gray125"/>
    </fill>
    <fill>
      <patternFill patternType="solid">
        <fgColor rgb="FFFFFFFF"/>
        <bgColor rgb="FFF4F5F7"/>
      </patternFill>
    </fill>
    <fill>
      <patternFill patternType="solid">
        <fgColor rgb="FFF096A5"/>
        <bgColor rgb="FFF096A6"/>
      </patternFill>
    </fill>
    <fill>
      <patternFill patternType="solid">
        <fgColor rgb="FFFEF0F2"/>
        <bgColor rgb="FFF4F5F7"/>
      </patternFill>
    </fill>
    <fill>
      <patternFill patternType="solid">
        <fgColor rgb="FFF096A6"/>
        <bgColor rgb="FFF096A5"/>
      </patternFill>
    </fill>
    <fill>
      <patternFill patternType="solid">
        <fgColor rgb="FFF4F5F7"/>
        <bgColor rgb="FFFEF0F2"/>
      </patternFill>
    </fill>
  </fills>
  <borders count="10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 style="thin">
        <color rgb="FFDDDDDD"/>
      </left>
      <right style="thin">
        <color rgb="FFDDDDDD"/>
      </right>
      <top style="thin">
        <color rgb="FFDDDDDD"/>
      </top>
      <bottom style="thin">
        <color rgb="FFDDDDDD"/>
      </bottom>
      <diagonal/>
    </border>
    <border>
      <left style="thin">
        <color rgb="FFDDDDDD"/>
      </left>
      <right/>
      <top/>
      <bottom/>
      <diagonal/>
    </border>
    <border>
      <left style="thin">
        <color rgb="FFD9DCE3"/>
      </left>
      <right style="thin">
        <color rgb="FFD9DCE3"/>
      </right>
      <top style="thin">
        <color rgb="FFD9DCE3"/>
      </top>
      <bottom style="thin">
        <color rgb="FFD9DCE3"/>
      </bottom>
      <diagonal/>
    </border>
    <border>
      <left style="thin">
        <color rgb="FFD9DCE3"/>
      </left>
      <right/>
      <top/>
      <bottom/>
      <diagonal/>
    </border>
    <border>
      <left/>
      <right style="thin">
        <color rgb="FFD9DCE3"/>
      </right>
      <top/>
      <bottom/>
      <diagonal/>
    </border>
    <border>
      <left/>
      <right/>
      <top style="medium">
        <color rgb="FFE53935"/>
      </top>
      <bottom style="medium">
        <color rgb="FFE53935"/>
      </bottom>
      <diagonal/>
    </border>
  </borders>
  <cellStyleXfs count="1">
    <xf numFmtId="0" fontId="0" fillId="0" borderId="0"/>
  </cellStyleXfs>
  <cellXfs count="48">
    <xf numFmtId="0" fontId="0" fillId="0" borderId="0" xfId="0"/>
    <xf numFmtId="0" fontId="3" fillId="2" borderId="0" xfId="0" applyFont="1" applyFill="1" applyAlignment="1">
      <alignment horizontal="left" vertical="center"/>
    </xf>
    <xf numFmtId="0" fontId="0" fillId="2" borderId="0" xfId="0" applyFill="1"/>
    <xf numFmtId="0" fontId="0" fillId="3" borderId="0" xfId="0" applyFill="1"/>
    <xf numFmtId="0" fontId="0" fillId="4" borderId="0" xfId="0" applyFill="1"/>
    <xf numFmtId="0" fontId="3" fillId="4" borderId="0" xfId="0" applyFont="1" applyFill="1" applyAlignment="1">
      <alignment horizontal="left" vertical="center"/>
    </xf>
    <xf numFmtId="0" fontId="6" fillId="5" borderId="0" xfId="0" applyFont="1" applyFill="1" applyAlignment="1">
      <alignment horizontal="center" vertical="center"/>
    </xf>
    <xf numFmtId="0" fontId="2" fillId="3" borderId="0" xfId="0" applyFont="1" applyFill="1" applyAlignment="1">
      <alignment vertical="center"/>
    </xf>
    <xf numFmtId="0" fontId="7" fillId="6" borderId="0" xfId="0" applyFont="1" applyFill="1" applyAlignment="1">
      <alignment horizontal="left" vertical="center"/>
    </xf>
    <xf numFmtId="0" fontId="0" fillId="6" borderId="0" xfId="0" applyFill="1"/>
    <xf numFmtId="0" fontId="8" fillId="6" borderId="4" xfId="0" applyFont="1" applyFill="1" applyBorder="1" applyAlignment="1">
      <alignment horizontal="center" vertical="center"/>
    </xf>
    <xf numFmtId="0" fontId="6" fillId="2" borderId="6" xfId="0" applyFont="1" applyFill="1" applyBorder="1" applyAlignment="1">
      <alignment horizontal="center" vertical="center"/>
    </xf>
    <xf numFmtId="0" fontId="6" fillId="4" borderId="6" xfId="0" applyFont="1" applyFill="1" applyBorder="1" applyAlignment="1">
      <alignment horizontal="center" vertical="center"/>
    </xf>
    <xf numFmtId="166" fontId="3" fillId="4" borderId="6" xfId="0" applyNumberFormat="1" applyFont="1" applyFill="1" applyBorder="1" applyAlignment="1">
      <alignment horizontal="right" vertical="center"/>
    </xf>
    <xf numFmtId="0" fontId="0" fillId="2" borderId="9" xfId="0" applyFill="1" applyBorder="1"/>
    <xf numFmtId="0" fontId="4" fillId="2" borderId="0" xfId="0" applyFont="1" applyFill="1" applyAlignment="1">
      <alignment horizontal="left" vertical="center"/>
    </xf>
    <xf numFmtId="165" fontId="4" fillId="2" borderId="0" xfId="0" applyNumberFormat="1" applyFont="1" applyFill="1" applyAlignment="1">
      <alignment horizontal="left" vertical="center"/>
    </xf>
    <xf numFmtId="0" fontId="10" fillId="2" borderId="0" xfId="0" applyFont="1" applyFill="1" applyAlignment="1">
      <alignment horizontal="left" vertical="center"/>
    </xf>
    <xf numFmtId="0" fontId="10" fillId="2" borderId="0" xfId="0" applyFont="1" applyFill="1"/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4" fillId="2" borderId="1" xfId="0" applyFont="1" applyFill="1" applyBorder="1" applyAlignment="1">
      <alignment horizontal="left" vertical="center"/>
    </xf>
    <xf numFmtId="0" fontId="4" fillId="2" borderId="2" xfId="0" applyFont="1" applyFill="1" applyBorder="1" applyAlignment="1">
      <alignment horizontal="left" vertical="center"/>
    </xf>
    <xf numFmtId="164" fontId="4" fillId="2" borderId="2" xfId="0" applyNumberFormat="1" applyFont="1" applyFill="1" applyBorder="1" applyAlignment="1">
      <alignment horizontal="center" vertical="center"/>
    </xf>
    <xf numFmtId="14" fontId="5" fillId="2" borderId="2" xfId="0" applyNumberFormat="1" applyFont="1" applyFill="1" applyBorder="1" applyAlignment="1">
      <alignment horizontal="center" vertical="center"/>
    </xf>
    <xf numFmtId="0" fontId="3" fillId="2" borderId="0" xfId="0" applyFont="1" applyFill="1" applyAlignment="1">
      <alignment horizontal="left" vertical="center"/>
    </xf>
    <xf numFmtId="164" fontId="4" fillId="2" borderId="3" xfId="0" applyNumberFormat="1" applyFont="1" applyFill="1" applyBorder="1" applyAlignment="1">
      <alignment horizontal="center" vertical="center"/>
    </xf>
    <xf numFmtId="164" fontId="2" fillId="3" borderId="0" xfId="0" applyNumberFormat="1" applyFont="1" applyFill="1" applyAlignment="1">
      <alignment horizontal="center" vertical="center"/>
    </xf>
    <xf numFmtId="0" fontId="0" fillId="2" borderId="0" xfId="0" applyFill="1" applyAlignment="1">
      <alignment horizontal="center"/>
    </xf>
    <xf numFmtId="0" fontId="7" fillId="6" borderId="5" xfId="0" applyFont="1" applyFill="1" applyBorder="1" applyAlignment="1">
      <alignment horizontal="center" vertical="center"/>
    </xf>
    <xf numFmtId="0" fontId="9" fillId="2" borderId="0" xfId="0" applyFont="1" applyFill="1" applyAlignment="1">
      <alignment horizontal="left" vertical="center"/>
    </xf>
    <xf numFmtId="166" fontId="3" fillId="2" borderId="7" xfId="0" applyNumberFormat="1" applyFont="1" applyFill="1" applyBorder="1" applyAlignment="1">
      <alignment horizontal="center" vertical="center"/>
    </xf>
    <xf numFmtId="0" fontId="9" fillId="4" borderId="0" xfId="0" applyFont="1" applyFill="1" applyAlignment="1">
      <alignment horizontal="left" vertical="center"/>
    </xf>
    <xf numFmtId="166" fontId="3" fillId="4" borderId="7" xfId="0" applyNumberFormat="1" applyFont="1" applyFill="1" applyBorder="1" applyAlignment="1">
      <alignment horizontal="center" vertical="center"/>
    </xf>
    <xf numFmtId="166" fontId="3" fillId="4" borderId="0" xfId="0" applyNumberFormat="1" applyFont="1" applyFill="1" applyAlignment="1">
      <alignment horizontal="center" vertical="center"/>
    </xf>
    <xf numFmtId="0" fontId="9" fillId="4" borderId="8" xfId="0" applyFont="1" applyFill="1" applyBorder="1" applyAlignment="1">
      <alignment horizontal="left" vertical="center"/>
    </xf>
    <xf numFmtId="0" fontId="7" fillId="6" borderId="0" xfId="0" applyFont="1" applyFill="1" applyAlignment="1">
      <alignment horizontal="center" vertical="center"/>
    </xf>
    <xf numFmtId="166" fontId="3" fillId="4" borderId="8" xfId="0" applyNumberFormat="1" applyFont="1" applyFill="1" applyBorder="1" applyAlignment="1">
      <alignment horizontal="center" vertical="center"/>
    </xf>
    <xf numFmtId="0" fontId="0" fillId="4" borderId="7" xfId="0" applyFill="1" applyBorder="1" applyAlignment="1">
      <alignment horizontal="center"/>
    </xf>
    <xf numFmtId="166" fontId="3" fillId="2" borderId="8" xfId="0" applyNumberFormat="1" applyFont="1" applyFill="1" applyBorder="1" applyAlignment="1">
      <alignment horizontal="center" vertical="center"/>
    </xf>
    <xf numFmtId="0" fontId="0" fillId="2" borderId="7" xfId="0" applyFill="1" applyBorder="1" applyAlignment="1">
      <alignment horizontal="center"/>
    </xf>
    <xf numFmtId="166" fontId="3" fillId="0" borderId="8" xfId="0" applyNumberFormat="1" applyFont="1" applyBorder="1" applyAlignment="1">
      <alignment horizontal="center" vertical="center"/>
    </xf>
    <xf numFmtId="0" fontId="0" fillId="0" borderId="7" xfId="0" applyBorder="1" applyAlignment="1">
      <alignment horizontal="center"/>
    </xf>
    <xf numFmtId="0" fontId="13" fillId="2" borderId="9" xfId="0" applyFont="1" applyFill="1" applyBorder="1" applyAlignment="1">
      <alignment horizontal="left" vertical="center"/>
    </xf>
    <xf numFmtId="164" fontId="14" fillId="2" borderId="9" xfId="0" applyNumberFormat="1" applyFont="1" applyFill="1" applyBorder="1" applyAlignment="1">
      <alignment horizontal="right" vertical="center"/>
    </xf>
    <xf numFmtId="0" fontId="10" fillId="2" borderId="0" xfId="0" applyFont="1" applyFill="1" applyAlignment="1">
      <alignment horizontal="center" vertical="center"/>
    </xf>
    <xf numFmtId="0" fontId="11" fillId="3" borderId="0" xfId="0" applyFont="1" applyFill="1" applyAlignment="1">
      <alignment horizontal="left" vertical="center"/>
    </xf>
    <xf numFmtId="164" fontId="12" fillId="3" borderId="0" xfId="0" applyNumberFormat="1" applyFont="1" applyFill="1" applyAlignment="1">
      <alignment horizontal="center" vertical="center"/>
    </xf>
  </cellXfs>
  <cellStyles count="1">
    <cellStyle name="Normal" xfId="0" builtinId="0"/>
  </cellStyles>
  <dxfs count="36">
    <dxf>
      <font>
        <b/>
        <color rgb="FF1A6B35"/>
        <name val="Calibri"/>
        <charset val="1"/>
      </font>
      <fill>
        <patternFill>
          <bgColor rgb="FFD4EDDA"/>
        </patternFill>
      </fill>
    </dxf>
    <dxf>
      <font>
        <b/>
        <color rgb="FF1A6B35"/>
        <name val="Calibri"/>
        <charset val="1"/>
      </font>
      <fill>
        <patternFill>
          <bgColor rgb="FFD4EDDA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color rgb="FFC0392B"/>
        <name val="Calibri"/>
        <charset val="1"/>
      </font>
      <fill>
        <patternFill>
          <bgColor rgb="FFFFFFFF"/>
        </patternFill>
      </fill>
    </dxf>
    <dxf>
      <font>
        <b/>
        <color rgb="FF1A6B35"/>
        <name val="Calibri"/>
        <charset val="1"/>
      </font>
      <fill>
        <patternFill>
          <bgColor rgb="FFD4EDDA"/>
        </patternFill>
      </fill>
    </dxf>
    <dxf>
      <font>
        <b/>
        <color rgb="FF1A6B35"/>
        <name val="Calibri"/>
        <charset val="1"/>
      </font>
      <fill>
        <patternFill>
          <bgColor rgb="FFD4EDDA"/>
        </patternFill>
      </fill>
    </dxf>
    <dxf>
      <font>
        <b/>
        <color rgb="FFC0392B"/>
        <name val="Calibri"/>
        <charset val="1"/>
      </font>
      <fill>
        <patternFill>
          <bgColor rgb="FFFFFFFF"/>
        </patternFill>
      </fill>
    </dxf>
    <dxf>
      <font>
        <b/>
        <color rgb="FFC0392B"/>
        <name val="Calibri"/>
        <charset val="1"/>
      </font>
      <fill>
        <patternFill>
          <bgColor rgb="FFFFFFFF"/>
        </patternFill>
      </fill>
    </dxf>
    <dxf>
      <font>
        <b/>
        <color rgb="FF1A6B35"/>
        <name val="Calibri"/>
        <charset val="1"/>
      </font>
      <fill>
        <patternFill>
          <bgColor rgb="FFD4EDDA"/>
        </patternFill>
      </fill>
    </dxf>
    <dxf>
      <font>
        <b/>
        <color rgb="FF1A6B35"/>
        <name val="Calibri"/>
        <charset val="1"/>
      </font>
      <fill>
        <patternFill>
          <bgColor rgb="FFD4EDDA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color rgb="FF1A6B35"/>
        <name val="Calibri"/>
        <charset val="1"/>
      </font>
      <fill>
        <patternFill>
          <bgColor rgb="FFD4EDDA"/>
        </patternFill>
      </fill>
    </dxf>
    <dxf>
      <font>
        <b/>
        <color rgb="FF1A6B35"/>
        <name val="Calibri"/>
        <charset val="1"/>
      </font>
      <fill>
        <patternFill>
          <bgColor rgb="FFD4EDDA"/>
        </patternFill>
      </fill>
    </dxf>
    <dxf>
      <font>
        <b/>
        <color rgb="FFC0392B"/>
        <name val="Calibri"/>
        <charset val="1"/>
      </font>
      <fill>
        <patternFill>
          <bgColor rgb="FFFFFFFF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color rgb="FFC0392B"/>
        <name val="Calibri"/>
        <charset val="1"/>
      </font>
      <fill>
        <patternFill>
          <bgColor rgb="FFFFFFFF"/>
        </patternFill>
      </fill>
    </dxf>
    <dxf>
      <font>
        <b/>
        <color rgb="FF1A6B35"/>
        <name val="Calibri"/>
        <charset val="1"/>
      </font>
      <fill>
        <patternFill>
          <bgColor rgb="FFD4EDDA"/>
        </patternFill>
      </fill>
    </dxf>
    <dxf>
      <font>
        <b/>
        <color rgb="FFC0392B"/>
        <name val="Calibri"/>
        <charset val="1"/>
      </font>
      <fill>
        <patternFill>
          <bgColor rgb="FFFFFFFF"/>
        </patternFill>
      </fill>
    </dxf>
    <dxf>
      <font>
        <b/>
        <color rgb="FF1A6B35"/>
        <name val="Calibri"/>
        <charset val="1"/>
      </font>
      <fill>
        <patternFill>
          <bgColor rgb="FFD4EDDA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color rgb="FFC0392B"/>
        <name val="Calibri"/>
        <charset val="1"/>
      </font>
      <fill>
        <patternFill>
          <bgColor rgb="FFFFFFFF"/>
        </patternFill>
      </fill>
    </dxf>
    <dxf>
      <font>
        <b/>
        <color rgb="FF1A6B35"/>
        <name val="Calibri"/>
        <charset val="1"/>
      </font>
      <fill>
        <patternFill>
          <bgColor rgb="FFD4EDDA"/>
        </patternFill>
      </fill>
    </dxf>
    <dxf>
      <font>
        <b/>
        <color rgb="FFC0392B"/>
        <name val="Calibri"/>
        <charset val="1"/>
      </font>
      <fill>
        <patternFill>
          <bgColor rgb="FFFFFFFF"/>
        </patternFill>
      </fill>
    </dxf>
    <dxf>
      <font>
        <b/>
        <color rgb="FF1A6B35"/>
        <name val="Calibri"/>
        <charset val="1"/>
      </font>
      <fill>
        <patternFill>
          <bgColor rgb="FFD4EDDA"/>
        </patternFill>
      </fill>
    </dxf>
    <dxf>
      <font>
        <b/>
        <color rgb="FFC0392B"/>
        <name val="Calibri"/>
        <charset val="1"/>
      </font>
      <fill>
        <patternFill>
          <bgColor rgb="FFFFFFFF"/>
        </patternFill>
      </fill>
    </dxf>
    <dxf>
      <font>
        <b/>
        <color rgb="FF1A6B35"/>
        <name val="Calibri"/>
        <charset val="1"/>
      </font>
      <fill>
        <patternFill>
          <bgColor rgb="FFD4EDDA"/>
        </patternFill>
      </fill>
    </dxf>
    <dxf>
      <font>
        <b/>
        <color rgb="FFC0392B"/>
        <name val="Calibri"/>
        <charset val="1"/>
      </font>
      <fill>
        <patternFill>
          <bgColor rgb="FFFFFFFF"/>
        </patternFill>
      </fill>
    </dxf>
    <dxf>
      <font>
        <b/>
        <color rgb="FF1A6B35"/>
        <name val="Calibri"/>
        <charset val="1"/>
      </font>
      <fill>
        <patternFill>
          <bgColor rgb="FFD4EDDA"/>
        </patternFill>
      </fill>
    </dxf>
    <dxf>
      <font>
        <b/>
        <color rgb="FFC0392B"/>
        <name val="Calibri"/>
        <charset val="1"/>
      </font>
      <fill>
        <patternFill>
          <bgColor rgb="FFFFFFFF"/>
        </patternFill>
      </fill>
    </dxf>
    <dxf>
      <font>
        <b/>
        <color rgb="FF1A6B35"/>
        <name val="Calibri"/>
        <charset val="1"/>
      </font>
      <fill>
        <patternFill>
          <bgColor rgb="FFD4EDDA"/>
        </patternFill>
      </fill>
    </dxf>
    <dxf>
      <font>
        <b/>
        <color rgb="FFC0392B"/>
        <name val="Calibri"/>
        <charset val="1"/>
      </font>
      <fill>
        <patternFill>
          <bgColor rgb="FFFFFFFF"/>
        </patternFill>
      </fill>
    </dxf>
    <dxf>
      <font>
        <b/>
        <color rgb="FF1A6B35"/>
        <name val="Calibri"/>
        <charset val="1"/>
      </font>
      <fill>
        <patternFill>
          <bgColor rgb="FFD4EDDA"/>
        </patternFill>
      </fill>
    </dxf>
  </dxfs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1A6B35"/>
      <rgbColor rgb="FF000080"/>
      <rgbColor rgb="FF808000"/>
      <rgbColor rgb="FF800080"/>
      <rgbColor rgb="FF008080"/>
      <rgbColor rgb="FFDDDDDD"/>
      <rgbColor rgb="FF888888"/>
      <rgbColor rgb="FF9999FF"/>
      <rgbColor rgb="FF993366"/>
      <rgbColor rgb="FFFEF0F2"/>
      <rgbColor rgb="FFF4F5F7"/>
      <rgbColor rgb="FF660066"/>
      <rgbColor rgb="FFF096A5"/>
      <rgbColor rgb="FF0066CC"/>
      <rgbColor rgb="FFD9DCE3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D4EDDA"/>
      <rgbColor rgb="FFFFFF99"/>
      <rgbColor rgb="FF99CCFF"/>
      <rgbColor rgb="FFF096A6"/>
      <rgbColor rgb="FFCC99FF"/>
      <rgbColor rgb="FFFFCC99"/>
      <rgbColor rgb="FF3366FF"/>
      <rgbColor rgb="FF33CCCC"/>
      <rgbColor rgb="FF99CC00"/>
      <rgbColor rgb="FFFFCC00"/>
      <rgbColor rgb="FFFF9900"/>
      <rgbColor rgb="FFE53935"/>
      <rgbColor rgb="FF6B6B6B"/>
      <rgbColor rgb="FF969696"/>
      <rgbColor rgb="FF1B2A4A"/>
      <rgbColor rgb="FF339966"/>
      <rgbColor rgb="FF003300"/>
      <rgbColor rgb="FF3D3D3D"/>
      <rgbColor rgb="FFC0392B"/>
      <rgbColor rgb="FF993366"/>
      <rgbColor rgb="FF555555"/>
      <rgbColor rgb="FF3D3C3D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1</xdr:row>
      <xdr:rowOff>0</xdr:rowOff>
    </xdr:from>
    <xdr:to>
      <xdr:col>0</xdr:col>
      <xdr:colOff>349560</xdr:colOff>
      <xdr:row>2</xdr:row>
      <xdr:rowOff>263880</xdr:rowOff>
    </xdr:to>
    <xdr:pic>
      <xdr:nvPicPr>
        <xdr:cNvPr id="2" name="Image 1" descr="Picture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/>
      </xdr:nvPicPr>
      <xdr:blipFill>
        <a:blip xmlns:r="http://schemas.openxmlformats.org/officeDocument/2006/relationships" r:embed="rId1"/>
        <a:stretch/>
      </xdr:blipFill>
      <xdr:spPr>
        <a:xfrm>
          <a:off x="0" y="47520"/>
          <a:ext cx="349560" cy="616320"/>
        </a:xfrm>
        <a:prstGeom prst="rect">
          <a:avLst/>
        </a:prstGeom>
        <a:ln w="0"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66"/>
  <sheetViews>
    <sheetView tabSelected="1" zoomScale="132" zoomScaleNormal="150" workbookViewId="0">
      <selection activeCell="A25" sqref="A25:C25"/>
    </sheetView>
  </sheetViews>
  <sheetFormatPr baseColWidth="10" defaultColWidth="8.6640625" defaultRowHeight="15" x14ac:dyDescent="0.2"/>
  <cols>
    <col min="1" max="1" width="42" customWidth="1"/>
    <col min="2" max="2" width="2" customWidth="1"/>
    <col min="3" max="3" width="30" customWidth="1"/>
    <col min="4" max="4" width="12" customWidth="1"/>
    <col min="5" max="5" width="14" customWidth="1"/>
    <col min="6" max="6" width="10.1640625" customWidth="1"/>
  </cols>
  <sheetData>
    <row r="1" spans="1:6" ht="3.75" customHeight="1" x14ac:dyDescent="0.2">
      <c r="A1" s="2"/>
      <c r="B1" s="2"/>
      <c r="C1" s="2"/>
      <c r="D1" s="2"/>
      <c r="E1" s="2"/>
      <c r="F1" s="2"/>
    </row>
    <row r="2" spans="1:6" ht="27.75" customHeight="1" x14ac:dyDescent="0.2">
      <c r="A2" s="19" t="s">
        <v>0</v>
      </c>
      <c r="B2" s="19"/>
      <c r="C2" s="19"/>
      <c r="D2" s="19"/>
      <c r="E2" s="19"/>
      <c r="F2" s="19"/>
    </row>
    <row r="3" spans="1:6" ht="24" customHeight="1" x14ac:dyDescent="0.2">
      <c r="A3" s="19"/>
      <c r="B3" s="19"/>
      <c r="C3" s="19"/>
      <c r="D3" s="19"/>
      <c r="E3" s="19"/>
      <c r="F3" s="19"/>
    </row>
    <row r="4" spans="1:6" ht="3.75" customHeight="1" x14ac:dyDescent="0.2">
      <c r="A4" s="3"/>
      <c r="B4" s="3"/>
      <c r="C4" s="3"/>
      <c r="D4" s="3"/>
      <c r="E4" s="3"/>
      <c r="F4" s="3"/>
    </row>
    <row r="5" spans="1:6" ht="3" customHeight="1" x14ac:dyDescent="0.2">
      <c r="A5" s="4"/>
      <c r="B5" s="4"/>
      <c r="C5" s="4"/>
      <c r="D5" s="4"/>
      <c r="E5" s="4"/>
      <c r="F5" s="4"/>
    </row>
    <row r="6" spans="1:6" ht="6" customHeight="1" x14ac:dyDescent="0.2">
      <c r="A6" s="2"/>
      <c r="B6" s="2"/>
      <c r="C6" s="2"/>
      <c r="D6" s="2"/>
      <c r="E6" s="2"/>
      <c r="F6" s="2"/>
    </row>
    <row r="7" spans="1:6" ht="24" customHeight="1" x14ac:dyDescent="0.2">
      <c r="A7" s="20" t="s">
        <v>1</v>
      </c>
      <c r="B7" s="20"/>
      <c r="C7" s="20"/>
      <c r="D7" s="20"/>
      <c r="E7" s="20"/>
      <c r="F7" s="20"/>
    </row>
    <row r="8" spans="1:6" ht="21.75" customHeight="1" x14ac:dyDescent="0.2">
      <c r="A8" s="5" t="s">
        <v>2</v>
      </c>
      <c r="B8" s="21"/>
      <c r="C8" s="21"/>
      <c r="D8" s="5" t="s">
        <v>3</v>
      </c>
      <c r="E8" s="21"/>
      <c r="F8" s="21"/>
    </row>
    <row r="9" spans="1:6" ht="21.75" customHeight="1" x14ac:dyDescent="0.2">
      <c r="A9" s="1" t="s">
        <v>4</v>
      </c>
      <c r="B9" s="22"/>
      <c r="C9" s="22"/>
      <c r="D9" s="1" t="s">
        <v>5</v>
      </c>
      <c r="E9" s="22"/>
      <c r="F9" s="22"/>
    </row>
    <row r="10" spans="1:6" ht="21.75" customHeight="1" x14ac:dyDescent="0.2">
      <c r="A10" s="5" t="s">
        <v>6</v>
      </c>
      <c r="B10" s="22"/>
      <c r="C10" s="22"/>
      <c r="D10" s="5" t="s">
        <v>7</v>
      </c>
      <c r="E10" s="23">
        <v>0</v>
      </c>
      <c r="F10" s="23"/>
    </row>
    <row r="11" spans="1:6" ht="19.5" customHeight="1" x14ac:dyDescent="0.2">
      <c r="A11" s="1" t="s">
        <v>8</v>
      </c>
      <c r="B11" s="22"/>
      <c r="C11" s="22"/>
      <c r="D11" s="1" t="s">
        <v>9</v>
      </c>
      <c r="E11" s="23">
        <v>0</v>
      </c>
      <c r="F11" s="23"/>
    </row>
    <row r="12" spans="1:6" ht="19.5" customHeight="1" x14ac:dyDescent="0.2">
      <c r="A12" s="5" t="s">
        <v>10</v>
      </c>
      <c r="B12" s="22"/>
      <c r="C12" s="22"/>
      <c r="D12" s="5" t="s">
        <v>11</v>
      </c>
      <c r="E12" s="24">
        <f ca="1">TODAY()</f>
        <v>46170</v>
      </c>
      <c r="F12" s="24"/>
    </row>
    <row r="13" spans="1:6" ht="19.5" customHeight="1" x14ac:dyDescent="0.2">
      <c r="A13" s="25" t="s">
        <v>12</v>
      </c>
      <c r="B13" s="25"/>
      <c r="C13" s="25"/>
      <c r="D13" s="2"/>
      <c r="E13" s="26">
        <v>1025</v>
      </c>
      <c r="F13" s="26"/>
    </row>
    <row r="14" spans="1:6" ht="15" customHeight="1" x14ac:dyDescent="0.2">
      <c r="A14" s="20" t="s">
        <v>13</v>
      </c>
      <c r="B14" s="20"/>
      <c r="C14" s="20"/>
      <c r="D14" s="6" t="s">
        <v>19</v>
      </c>
      <c r="E14" s="27">
        <f>IF(D14="OUI",230,0)</f>
        <v>0</v>
      </c>
      <c r="F14" s="27"/>
    </row>
    <row r="15" spans="1:6" ht="3.75" customHeight="1" x14ac:dyDescent="0.2">
      <c r="A15" s="28"/>
      <c r="B15" s="28"/>
      <c r="C15" s="28"/>
      <c r="D15" s="28"/>
      <c r="E15" s="28"/>
      <c r="F15" s="28"/>
    </row>
    <row r="16" spans="1:6" ht="24" customHeight="1" x14ac:dyDescent="0.2">
      <c r="A16" s="20" t="s">
        <v>14</v>
      </c>
      <c r="B16" s="20"/>
      <c r="C16" s="20"/>
      <c r="D16" s="20"/>
      <c r="E16" s="7"/>
      <c r="F16" s="7"/>
    </row>
    <row r="17" spans="1:6" ht="16.5" customHeight="1" x14ac:dyDescent="0.2">
      <c r="A17" s="8" t="s">
        <v>15</v>
      </c>
      <c r="B17" s="9"/>
      <c r="C17" s="8"/>
      <c r="D17" s="10" t="s">
        <v>16</v>
      </c>
      <c r="E17" s="29" t="s">
        <v>17</v>
      </c>
      <c r="F17" s="29"/>
    </row>
    <row r="18" spans="1:6" ht="19.5" customHeight="1" x14ac:dyDescent="0.2">
      <c r="A18" s="30" t="s">
        <v>18</v>
      </c>
      <c r="B18" s="30"/>
      <c r="C18" s="2"/>
      <c r="D18" s="11" t="s">
        <v>19</v>
      </c>
      <c r="E18" s="31">
        <f>IF(D18="OUI",80,0)</f>
        <v>0</v>
      </c>
      <c r="F18" s="31"/>
    </row>
    <row r="19" spans="1:6" ht="19.5" customHeight="1" x14ac:dyDescent="0.2">
      <c r="A19" s="32" t="s">
        <v>20</v>
      </c>
      <c r="B19" s="32"/>
      <c r="C19" s="4"/>
      <c r="D19" s="12" t="s">
        <v>19</v>
      </c>
      <c r="E19" s="33">
        <f>IF(D19="OUI",150,0)</f>
        <v>0</v>
      </c>
      <c r="F19" s="33"/>
    </row>
    <row r="20" spans="1:6" ht="19.5" customHeight="1" x14ac:dyDescent="0.2">
      <c r="A20" s="30" t="s">
        <v>21</v>
      </c>
      <c r="B20" s="30"/>
      <c r="C20" s="2"/>
      <c r="D20" s="11" t="s">
        <v>19</v>
      </c>
      <c r="E20" s="31">
        <f>IF(D20="OUI",350,0)</f>
        <v>0</v>
      </c>
      <c r="F20" s="31"/>
    </row>
    <row r="21" spans="1:6" ht="19.5" customHeight="1" x14ac:dyDescent="0.2">
      <c r="A21" s="32" t="s">
        <v>22</v>
      </c>
      <c r="B21" s="32"/>
      <c r="C21" s="4"/>
      <c r="D21" s="12" t="s">
        <v>19</v>
      </c>
      <c r="E21" s="33">
        <f>IF(D21="OUI",600,0)</f>
        <v>0</v>
      </c>
      <c r="F21" s="33"/>
    </row>
    <row r="22" spans="1:6" ht="19.5" customHeight="1" x14ac:dyDescent="0.2">
      <c r="A22" s="30" t="s">
        <v>23</v>
      </c>
      <c r="B22" s="30"/>
      <c r="C22" s="2"/>
      <c r="D22" s="11" t="s">
        <v>19</v>
      </c>
      <c r="E22" s="31">
        <f>IF(D22="OUI",850,0)</f>
        <v>0</v>
      </c>
      <c r="F22" s="31"/>
    </row>
    <row r="23" spans="1:6" ht="19.5" customHeight="1" x14ac:dyDescent="0.2">
      <c r="A23" s="32" t="s">
        <v>24</v>
      </c>
      <c r="B23" s="32"/>
      <c r="C23" s="4"/>
      <c r="D23" s="12" t="s">
        <v>19</v>
      </c>
      <c r="E23" s="33">
        <f>IF(D23="NON",0,IF(OR(D23=1,D23="1"),400,IF(OR(D23=2,D23="2"),800,0)))</f>
        <v>0</v>
      </c>
      <c r="F23" s="34"/>
    </row>
    <row r="24" spans="1:6" ht="19.5" customHeight="1" x14ac:dyDescent="0.2">
      <c r="A24" s="30" t="s">
        <v>25</v>
      </c>
      <c r="B24" s="30"/>
      <c r="C24" s="2"/>
      <c r="D24" s="11" t="s">
        <v>19</v>
      </c>
      <c r="E24" s="31">
        <f>IF(D24="OUI",180,0)</f>
        <v>0</v>
      </c>
      <c r="F24" s="31"/>
    </row>
    <row r="25" spans="1:6" ht="19.5" customHeight="1" x14ac:dyDescent="0.2">
      <c r="A25" s="35" t="s">
        <v>26</v>
      </c>
      <c r="B25" s="35"/>
      <c r="C25" s="35"/>
      <c r="D25" s="13">
        <v>0</v>
      </c>
      <c r="E25" s="33">
        <f>IF(D25="OUI",180,0)</f>
        <v>0</v>
      </c>
      <c r="F25" s="33"/>
    </row>
    <row r="26" spans="1:6" ht="4.5" customHeight="1" x14ac:dyDescent="0.2">
      <c r="A26" s="2"/>
      <c r="B26" s="2"/>
      <c r="C26" s="2"/>
      <c r="D26" s="2"/>
      <c r="E26" s="2"/>
      <c r="F26" s="2"/>
    </row>
    <row r="27" spans="1:6" ht="24" customHeight="1" x14ac:dyDescent="0.2">
      <c r="A27" s="20" t="s">
        <v>27</v>
      </c>
      <c r="B27" s="20"/>
      <c r="C27" s="20"/>
      <c r="D27" s="20"/>
      <c r="E27" s="7"/>
      <c r="F27" s="7"/>
    </row>
    <row r="28" spans="1:6" ht="16.5" customHeight="1" x14ac:dyDescent="0.2">
      <c r="A28" s="36" t="s">
        <v>28</v>
      </c>
      <c r="B28" s="36"/>
      <c r="C28" s="36"/>
      <c r="D28" s="36"/>
      <c r="E28" s="36" t="s">
        <v>17</v>
      </c>
      <c r="F28" s="36"/>
    </row>
    <row r="29" spans="1:6" ht="19.5" customHeight="1" x14ac:dyDescent="0.2">
      <c r="A29" s="37"/>
      <c r="B29" s="37"/>
      <c r="C29" s="37"/>
      <c r="D29" s="37"/>
      <c r="E29" s="38"/>
      <c r="F29" s="38"/>
    </row>
    <row r="30" spans="1:6" ht="19.5" customHeight="1" x14ac:dyDescent="0.2">
      <c r="A30" s="39"/>
      <c r="B30" s="39"/>
      <c r="C30" s="39"/>
      <c r="D30" s="39"/>
      <c r="E30" s="40"/>
      <c r="F30" s="40"/>
    </row>
    <row r="31" spans="1:6" ht="19.5" customHeight="1" x14ac:dyDescent="0.2">
      <c r="A31" s="37"/>
      <c r="B31" s="37"/>
      <c r="C31" s="37"/>
      <c r="D31" s="37"/>
      <c r="E31" s="38"/>
      <c r="F31" s="38"/>
    </row>
    <row r="32" spans="1:6" ht="19.5" customHeight="1" x14ac:dyDescent="0.2">
      <c r="A32" s="39"/>
      <c r="B32" s="39"/>
      <c r="C32" s="39"/>
      <c r="D32" s="39"/>
      <c r="E32" s="40"/>
      <c r="F32" s="40"/>
    </row>
    <row r="33" spans="1:6" ht="19.5" customHeight="1" x14ac:dyDescent="0.2">
      <c r="A33" s="37"/>
      <c r="B33" s="37"/>
      <c r="C33" s="37"/>
      <c r="D33" s="37"/>
      <c r="E33" s="38"/>
      <c r="F33" s="38"/>
    </row>
    <row r="34" spans="1:6" ht="19.5" customHeight="1" x14ac:dyDescent="0.2">
      <c r="A34" s="39"/>
      <c r="B34" s="39"/>
      <c r="C34" s="39"/>
      <c r="D34" s="39"/>
      <c r="E34" s="40"/>
      <c r="F34" s="40"/>
    </row>
    <row r="35" spans="1:6" ht="4.5" customHeight="1" x14ac:dyDescent="0.2">
      <c r="A35" s="2"/>
      <c r="B35" s="2"/>
      <c r="C35" s="2"/>
      <c r="D35" s="2"/>
      <c r="E35" s="2"/>
      <c r="F35" s="2"/>
    </row>
    <row r="36" spans="1:6" ht="24" customHeight="1" x14ac:dyDescent="0.2">
      <c r="A36" s="20" t="s">
        <v>29</v>
      </c>
      <c r="B36" s="20"/>
      <c r="C36" s="20"/>
      <c r="D36" s="20"/>
      <c r="E36" s="7"/>
      <c r="F36" s="7"/>
    </row>
    <row r="37" spans="1:6" ht="16.5" customHeight="1" x14ac:dyDescent="0.2">
      <c r="A37" s="36" t="s">
        <v>28</v>
      </c>
      <c r="B37" s="36"/>
      <c r="C37" s="36"/>
      <c r="D37" s="36"/>
      <c r="E37" s="36" t="s">
        <v>17</v>
      </c>
      <c r="F37" s="36"/>
    </row>
    <row r="38" spans="1:6" ht="19.5" customHeight="1" x14ac:dyDescent="0.2">
      <c r="A38" s="37"/>
      <c r="B38" s="37"/>
      <c r="C38" s="37"/>
      <c r="D38" s="37"/>
      <c r="E38" s="38"/>
      <c r="F38" s="38"/>
    </row>
    <row r="39" spans="1:6" ht="19.5" customHeight="1" x14ac:dyDescent="0.2">
      <c r="A39" s="39"/>
      <c r="B39" s="39"/>
      <c r="C39" s="39"/>
      <c r="D39" s="39"/>
      <c r="E39" s="40"/>
      <c r="F39" s="40"/>
    </row>
    <row r="40" spans="1:6" ht="19.5" customHeight="1" x14ac:dyDescent="0.2">
      <c r="A40" s="37"/>
      <c r="B40" s="37"/>
      <c r="C40" s="37"/>
      <c r="D40" s="37"/>
      <c r="E40" s="38"/>
      <c r="F40" s="38"/>
    </row>
    <row r="41" spans="1:6" ht="19.5" customHeight="1" x14ac:dyDescent="0.2">
      <c r="A41" s="39"/>
      <c r="B41" s="39"/>
      <c r="C41" s="39"/>
      <c r="D41" s="39"/>
      <c r="E41" s="40"/>
      <c r="F41" s="40"/>
    </row>
    <row r="42" spans="1:6" ht="19.5" customHeight="1" x14ac:dyDescent="0.2">
      <c r="A42" s="37"/>
      <c r="B42" s="37"/>
      <c r="C42" s="37"/>
      <c r="D42" s="37"/>
      <c r="E42" s="38"/>
      <c r="F42" s="38"/>
    </row>
    <row r="43" spans="1:6" ht="19.5" customHeight="1" x14ac:dyDescent="0.2">
      <c r="A43" s="39"/>
      <c r="B43" s="39"/>
      <c r="C43" s="39"/>
      <c r="D43" s="39"/>
      <c r="E43" s="40"/>
      <c r="F43" s="40"/>
    </row>
    <row r="44" spans="1:6" ht="19.5" customHeight="1" x14ac:dyDescent="0.2">
      <c r="A44" s="37"/>
      <c r="B44" s="37"/>
      <c r="C44" s="37"/>
      <c r="D44" s="37"/>
      <c r="E44" s="38"/>
      <c r="F44" s="38"/>
    </row>
    <row r="45" spans="1:6" ht="19.5" customHeight="1" x14ac:dyDescent="0.2">
      <c r="A45" s="39"/>
      <c r="B45" s="39"/>
      <c r="C45" s="39"/>
      <c r="D45" s="39"/>
      <c r="E45" s="40"/>
      <c r="F45" s="40"/>
    </row>
    <row r="46" spans="1:6" ht="19.5" customHeight="1" x14ac:dyDescent="0.2">
      <c r="A46" s="37"/>
      <c r="B46" s="37"/>
      <c r="C46" s="37"/>
      <c r="D46" s="37"/>
      <c r="E46" s="38"/>
      <c r="F46" s="38"/>
    </row>
    <row r="47" spans="1:6" ht="19.5" customHeight="1" x14ac:dyDescent="0.2">
      <c r="A47" s="39"/>
      <c r="B47" s="39"/>
      <c r="C47" s="39"/>
      <c r="D47" s="39"/>
      <c r="E47" s="40"/>
      <c r="F47" s="40"/>
    </row>
    <row r="48" spans="1:6" ht="19.5" customHeight="1" x14ac:dyDescent="0.2">
      <c r="A48" s="37"/>
      <c r="B48" s="37"/>
      <c r="C48" s="37"/>
      <c r="D48" s="37"/>
      <c r="E48" s="38"/>
      <c r="F48" s="38"/>
    </row>
    <row r="49" spans="1:6" ht="19.5" customHeight="1" x14ac:dyDescent="0.2">
      <c r="A49" s="39"/>
      <c r="B49" s="39"/>
      <c r="C49" s="39"/>
      <c r="D49" s="39"/>
      <c r="E49" s="40"/>
      <c r="F49" s="40"/>
    </row>
    <row r="50" spans="1:6" ht="19.5" customHeight="1" x14ac:dyDescent="0.2">
      <c r="A50" s="37"/>
      <c r="B50" s="37"/>
      <c r="C50" s="37"/>
      <c r="D50" s="37"/>
      <c r="E50" s="38"/>
      <c r="F50" s="38"/>
    </row>
    <row r="51" spans="1:6" ht="19.5" customHeight="1" x14ac:dyDescent="0.2">
      <c r="A51" s="39"/>
      <c r="B51" s="39"/>
      <c r="C51" s="39"/>
      <c r="D51" s="39"/>
      <c r="E51" s="40"/>
      <c r="F51" s="40"/>
    </row>
    <row r="52" spans="1:6" ht="24" customHeight="1" x14ac:dyDescent="0.2">
      <c r="A52" s="20" t="s">
        <v>30</v>
      </c>
      <c r="B52" s="20"/>
      <c r="C52" s="20"/>
      <c r="D52" s="20"/>
      <c r="E52" s="7"/>
      <c r="F52" s="7"/>
    </row>
    <row r="53" spans="1:6" ht="16.5" customHeight="1" x14ac:dyDescent="0.2">
      <c r="A53" s="36" t="s">
        <v>28</v>
      </c>
      <c r="B53" s="36"/>
      <c r="C53" s="36"/>
      <c r="D53" s="36"/>
      <c r="E53" s="36" t="s">
        <v>17</v>
      </c>
      <c r="F53" s="36"/>
    </row>
    <row r="54" spans="1:6" ht="19.5" customHeight="1" x14ac:dyDescent="0.2">
      <c r="A54" s="37"/>
      <c r="B54" s="37"/>
      <c r="C54" s="37"/>
      <c r="D54" s="37"/>
      <c r="E54" s="38"/>
      <c r="F54" s="38"/>
    </row>
    <row r="55" spans="1:6" ht="19.5" customHeight="1" x14ac:dyDescent="0.2">
      <c r="A55" s="39"/>
      <c r="B55" s="39"/>
      <c r="C55" s="39"/>
      <c r="D55" s="39"/>
      <c r="E55" s="40"/>
      <c r="F55" s="40"/>
    </row>
    <row r="56" spans="1:6" ht="19.5" customHeight="1" x14ac:dyDescent="0.2">
      <c r="A56" s="37"/>
      <c r="B56" s="37"/>
      <c r="C56" s="37"/>
      <c r="D56" s="37"/>
      <c r="E56" s="38"/>
      <c r="F56" s="38"/>
    </row>
    <row r="57" spans="1:6" ht="19.5" customHeight="1" x14ac:dyDescent="0.2">
      <c r="A57" s="41"/>
      <c r="B57" s="41"/>
      <c r="C57" s="41"/>
      <c r="D57" s="41"/>
      <c r="E57" s="42"/>
      <c r="F57" s="42"/>
    </row>
    <row r="58" spans="1:6" ht="21.75" customHeight="1" x14ac:dyDescent="0.2">
      <c r="A58" s="20" t="s">
        <v>31</v>
      </c>
      <c r="B58" s="20"/>
      <c r="C58" s="20"/>
      <c r="D58" s="20"/>
      <c r="E58" s="27">
        <v>400</v>
      </c>
      <c r="F58" s="27"/>
    </row>
    <row r="59" spans="1:6" ht="3.75" customHeight="1" x14ac:dyDescent="0.2">
      <c r="A59" s="45"/>
      <c r="B59" s="45"/>
      <c r="C59" s="45"/>
      <c r="D59" s="45"/>
      <c r="E59" s="45"/>
      <c r="F59" s="45"/>
    </row>
    <row r="60" spans="1:6" ht="30" customHeight="1" x14ac:dyDescent="0.2">
      <c r="A60" s="46" t="s">
        <v>32</v>
      </c>
      <c r="B60" s="46"/>
      <c r="C60" s="46"/>
      <c r="D60" s="3"/>
      <c r="E60" s="47">
        <f>E13+E14+E18+E19+E20+E21+E22+E23+E24+E25+SUM(E29:E34)+SUM(E38:E51)+SUM(E54:E57)+E58</f>
        <v>1425</v>
      </c>
      <c r="F60" s="47"/>
    </row>
    <row r="61" spans="1:6" ht="3" customHeight="1" x14ac:dyDescent="0.2">
      <c r="A61" s="3"/>
      <c r="B61" s="3"/>
      <c r="C61" s="3"/>
      <c r="D61" s="3"/>
      <c r="E61" s="3"/>
      <c r="F61" s="3"/>
    </row>
    <row r="62" spans="1:6" ht="37.5" customHeight="1" x14ac:dyDescent="0.2">
      <c r="A62" s="43" t="s">
        <v>33</v>
      </c>
      <c r="B62" s="43"/>
      <c r="C62" s="43"/>
      <c r="D62" s="14"/>
      <c r="E62" s="44">
        <f>E10+E60</f>
        <v>1425</v>
      </c>
      <c r="F62" s="44"/>
    </row>
    <row r="63" spans="1:6" ht="4.5" customHeight="1" x14ac:dyDescent="0.2">
      <c r="A63" s="2"/>
      <c r="B63" s="2"/>
      <c r="C63" s="2"/>
      <c r="D63" s="2"/>
      <c r="E63" s="2"/>
      <c r="F63" s="2"/>
    </row>
    <row r="64" spans="1:6" ht="15" customHeight="1" x14ac:dyDescent="0.2">
      <c r="A64" s="1"/>
      <c r="B64" s="15"/>
      <c r="C64" s="2"/>
      <c r="D64" s="1"/>
      <c r="E64" s="16"/>
      <c r="F64" s="2"/>
    </row>
    <row r="65" spans="1:6" ht="9.75" customHeight="1" x14ac:dyDescent="0.2">
      <c r="A65" s="2"/>
      <c r="B65" s="2"/>
      <c r="C65" s="2"/>
      <c r="D65" s="2"/>
      <c r="E65" s="2"/>
      <c r="F65" s="2"/>
    </row>
    <row r="66" spans="1:6" ht="15" customHeight="1" x14ac:dyDescent="0.2">
      <c r="A66" s="17"/>
      <c r="F66" s="18"/>
    </row>
  </sheetData>
  <mergeCells count="99">
    <mergeCell ref="A62:C62"/>
    <mergeCell ref="E62:F62"/>
    <mergeCell ref="A58:D58"/>
    <mergeCell ref="E58:F58"/>
    <mergeCell ref="A59:F59"/>
    <mergeCell ref="A60:C60"/>
    <mergeCell ref="E60:F60"/>
    <mergeCell ref="A55:D55"/>
    <mergeCell ref="E55:F55"/>
    <mergeCell ref="A56:D56"/>
    <mergeCell ref="E56:F56"/>
    <mergeCell ref="A57:D57"/>
    <mergeCell ref="E57:F57"/>
    <mergeCell ref="A52:D52"/>
    <mergeCell ref="A53:D53"/>
    <mergeCell ref="E53:F53"/>
    <mergeCell ref="A54:D54"/>
    <mergeCell ref="E54:F54"/>
    <mergeCell ref="A49:D49"/>
    <mergeCell ref="E49:F49"/>
    <mergeCell ref="A50:D50"/>
    <mergeCell ref="E50:F50"/>
    <mergeCell ref="A51:D51"/>
    <mergeCell ref="E51:F51"/>
    <mergeCell ref="A46:D46"/>
    <mergeCell ref="E46:F46"/>
    <mergeCell ref="A47:D47"/>
    <mergeCell ref="E47:F47"/>
    <mergeCell ref="A48:D48"/>
    <mergeCell ref="E48:F48"/>
    <mergeCell ref="A43:D43"/>
    <mergeCell ref="E43:F43"/>
    <mergeCell ref="A44:D44"/>
    <mergeCell ref="E44:F44"/>
    <mergeCell ref="A45:D45"/>
    <mergeCell ref="E45:F45"/>
    <mergeCell ref="A40:D40"/>
    <mergeCell ref="E40:F40"/>
    <mergeCell ref="A41:D41"/>
    <mergeCell ref="E41:F41"/>
    <mergeCell ref="A42:D42"/>
    <mergeCell ref="E42:F42"/>
    <mergeCell ref="A37:D37"/>
    <mergeCell ref="E37:F37"/>
    <mergeCell ref="A38:D38"/>
    <mergeCell ref="E38:F38"/>
    <mergeCell ref="A39:D39"/>
    <mergeCell ref="E39:F39"/>
    <mergeCell ref="A33:D33"/>
    <mergeCell ref="E33:F33"/>
    <mergeCell ref="A34:D34"/>
    <mergeCell ref="E34:F34"/>
    <mergeCell ref="A36:D36"/>
    <mergeCell ref="A30:D30"/>
    <mergeCell ref="E30:F30"/>
    <mergeCell ref="A31:D31"/>
    <mergeCell ref="E31:F31"/>
    <mergeCell ref="A32:D32"/>
    <mergeCell ref="E32:F32"/>
    <mergeCell ref="A27:D27"/>
    <mergeCell ref="A28:D28"/>
    <mergeCell ref="E28:F28"/>
    <mergeCell ref="A29:D29"/>
    <mergeCell ref="E29:F29"/>
    <mergeCell ref="A23:B23"/>
    <mergeCell ref="E23:F23"/>
    <mergeCell ref="A24:B24"/>
    <mergeCell ref="E24:F24"/>
    <mergeCell ref="A25:C25"/>
    <mergeCell ref="E25:F25"/>
    <mergeCell ref="A20:B20"/>
    <mergeCell ref="E20:F20"/>
    <mergeCell ref="A21:B21"/>
    <mergeCell ref="E21:F21"/>
    <mergeCell ref="A22:B22"/>
    <mergeCell ref="E22:F22"/>
    <mergeCell ref="A16:D16"/>
    <mergeCell ref="E17:F17"/>
    <mergeCell ref="A18:B18"/>
    <mergeCell ref="E18:F18"/>
    <mergeCell ref="A19:B19"/>
    <mergeCell ref="E19:F19"/>
    <mergeCell ref="A13:C13"/>
    <mergeCell ref="E13:F13"/>
    <mergeCell ref="A14:C14"/>
    <mergeCell ref="E14:F14"/>
    <mergeCell ref="A15:F15"/>
    <mergeCell ref="B10:C10"/>
    <mergeCell ref="E10:F10"/>
    <mergeCell ref="B11:C11"/>
    <mergeCell ref="E11:F11"/>
    <mergeCell ref="B12:C12"/>
    <mergeCell ref="E12:F12"/>
    <mergeCell ref="A2:F3"/>
    <mergeCell ref="A7:F7"/>
    <mergeCell ref="B8:C8"/>
    <mergeCell ref="E8:F8"/>
    <mergeCell ref="B9:C9"/>
    <mergeCell ref="E9:F9"/>
  </mergeCells>
  <conditionalFormatting sqref="D14">
    <cfRule type="containsText" dxfId="15" priority="7" stopIfTrue="1" operator="containsText" text="NON">
      <formula>NOT(ISERROR(SEARCH("NON",D14)))</formula>
    </cfRule>
    <cfRule type="containsText" dxfId="14" priority="1" operator="containsText" text="OUI">
      <formula>NOT(ISERROR(SEARCH("OUI",D14)))</formula>
    </cfRule>
  </conditionalFormatting>
  <conditionalFormatting sqref="D19:D22 D24">
    <cfRule type="expression" dxfId="13" priority="8">
      <formula>OR(D24=1,D24="1",D24=2,D24="2")</formula>
    </cfRule>
  </conditionalFormatting>
  <conditionalFormatting sqref="D23">
    <cfRule type="expression" dxfId="12" priority="4">
      <formula>OR($D$23=1,$D$23="1",$D$23=2,$D$23="2")</formula>
    </cfRule>
  </conditionalFormatting>
  <conditionalFormatting sqref="D19:D24">
    <cfRule type="expression" dxfId="11" priority="3">
      <formula>OR(D19="OUI",D19=1,D19="1",D19=2,D19="2")</formula>
    </cfRule>
  </conditionalFormatting>
  <conditionalFormatting sqref="D18">
    <cfRule type="containsText" dxfId="10" priority="6" operator="containsText" text="OUI">
      <formula>NOT(ISERROR(SEARCH("OUI",D18)))</formula>
    </cfRule>
    <cfRule type="containsText" dxfId="9" priority="2" operator="containsText" text="OUI">
      <formula>NOT(ISERROR(SEARCH("OUI",D18)))</formula>
    </cfRule>
  </conditionalFormatting>
  <conditionalFormatting sqref="D19:D24">
    <cfRule type="containsText" dxfId="8" priority="9" operator="containsText" text="NON">
      <formula>NOT(ISERROR(SEARCH("NON",D19)))</formula>
    </cfRule>
  </conditionalFormatting>
  <dataValidations count="2">
    <dataValidation type="list" sqref="D14 D18:D22 D24" xr:uid="{00000000-0002-0000-0000-000000000000}">
      <formula1>"OUI,NON"</formula1>
      <formula2>0</formula2>
    </dataValidation>
    <dataValidation type="list" sqref="D23" xr:uid="{00000000-0002-0000-0000-000001000000}">
      <formula1>"NON,1,2"</formula1>
    </dataValidation>
  </dataValidations>
  <pageMargins left="0.75" right="0.75" top="1" bottom="1" header="0.511811023622047" footer="0.511811023622047"/>
  <pageSetup orientation="portrait" horizontalDpi="300" verticalDpi="300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Macintosh Excel</Application>
  <DocSecurity>0</DocSecurity>
  <ScaleCrop>false</ScaleCrop>
  <HeadingPairs>
    <vt:vector size="4" baseType="variant">
      <vt:variant>
        <vt:lpstr>Feuilles de calcul</vt:lpstr>
      </vt:variant>
      <vt:variant>
        <vt:i4>1</vt:i4>
      </vt:variant>
      <vt:variant>
        <vt:lpstr>Plages nommées</vt:lpstr>
      </vt:variant>
      <vt:variant>
        <vt:i4>1</vt:i4>
      </vt:variant>
    </vt:vector>
  </HeadingPairs>
  <TitlesOfParts>
    <vt:vector size="2" baseType="lpstr">
      <vt:lpstr>Fiche Provision VO</vt:lpstr>
      <vt:lpstr>'Fiche Provision VO'!Zone_d_impression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Gérald Durand-Desgranges</cp:lastModifiedBy>
  <cp:revision>0</cp:revision>
  <dcterms:created xsi:type="dcterms:W3CDTF">2026-05-13T14:23:14Z</dcterms:created>
  <dcterms:modified xsi:type="dcterms:W3CDTF">2026-05-28T13:23:15Z</dcterms:modified>
  <dc:language>en-US</dc:language>
</cp:coreProperties>
</file>